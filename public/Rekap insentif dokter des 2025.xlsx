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37524E8-E95D-4BC1-BD34-7867296308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K69" i="1" l="1"/>
  <c r="J69" i="1"/>
  <c r="H69" i="1"/>
  <c r="H70" i="1" s="1"/>
  <c r="G69" i="1"/>
</calcChain>
</file>

<file path=xl/sharedStrings.xml><?xml version="1.0" encoding="utf-8"?>
<sst xmlns="http://schemas.openxmlformats.org/spreadsheetml/2006/main" count="301" uniqueCount="140">
  <si>
    <t>REMUNERASI DOKTER</t>
  </si>
  <si>
    <t>KELOMPOK REMUN : BPJS</t>
  </si>
  <si>
    <t>No</t>
  </si>
  <si>
    <t>Dokter</t>
  </si>
  <si>
    <t>Bruto</t>
  </si>
  <si>
    <t>Pajak</t>
  </si>
  <si>
    <t>Netto</t>
  </si>
  <si>
    <t>Norek</t>
  </si>
  <si>
    <t>Bank</t>
  </si>
  <si>
    <t>Nama</t>
  </si>
  <si>
    <t>SP</t>
  </si>
  <si>
    <t>(Rp)</t>
  </si>
  <si>
    <t>%</t>
  </si>
  <si>
    <t>Rp</t>
  </si>
  <si>
    <t>AGUNG NUGROHO W</t>
  </si>
  <si>
    <t>BLUD</t>
  </si>
  <si>
    <t>Sp.OG</t>
  </si>
  <si>
    <t>2.007.08140.8</t>
  </si>
  <si>
    <t>BPD JATENG</t>
  </si>
  <si>
    <t>AGUS RIYANTO</t>
  </si>
  <si>
    <t>PNS</t>
  </si>
  <si>
    <t>Sp.PK</t>
  </si>
  <si>
    <t>5.0</t>
  </si>
  <si>
    <t>2.007.10418.1</t>
  </si>
  <si>
    <t>ARVIANA RINANTI MITA PRISKASARI</t>
  </si>
  <si>
    <t>Sp.Rad.</t>
  </si>
  <si>
    <t>15.0</t>
  </si>
  <si>
    <t>BAIR GINTING</t>
  </si>
  <si>
    <t>Sp.BS</t>
  </si>
  <si>
    <t>3.007.06635.9</t>
  </si>
  <si>
    <t>BIMA SURYAATMAJA</t>
  </si>
  <si>
    <t>Sp.JP</t>
  </si>
  <si>
    <t>BPD JATENG SYARIAH</t>
  </si>
  <si>
    <t>CHRISTINA DEWI RATNANINGSIH</t>
  </si>
  <si>
    <t>Sp.M</t>
  </si>
  <si>
    <t>3.007.06617.1</t>
  </si>
  <si>
    <t>DICKY ARI RISANDY</t>
  </si>
  <si>
    <t>Sp.A</t>
  </si>
  <si>
    <t>DIMAS PRASETYO ADI PRAKOSO</t>
  </si>
  <si>
    <t>Sp.OT</t>
  </si>
  <si>
    <t>DINARVIANI DWI LUKITASARI</t>
  </si>
  <si>
    <t>Sp.THT-KL</t>
  </si>
  <si>
    <t>FAHRI HUSAINI ALKAF</t>
  </si>
  <si>
    <t>Sp.JP, M.H</t>
  </si>
  <si>
    <t>IKA RIZKI KURNIATY</t>
  </si>
  <si>
    <t>Sp.DV</t>
  </si>
  <si>
    <t>KUKUH SUBEKTI</t>
  </si>
  <si>
    <t>Sp.PD</t>
  </si>
  <si>
    <t>LINDA ERMIZA</t>
  </si>
  <si>
    <t>Sp.BM</t>
  </si>
  <si>
    <t>3.007.13403.6</t>
  </si>
  <si>
    <t>MRR. BINTANG KUSUMANINGTYAS</t>
  </si>
  <si>
    <t>NUR ALI AZIZ FAIZIN</t>
  </si>
  <si>
    <t>Sp.S</t>
  </si>
  <si>
    <t>RIA ALIVIYANA</t>
  </si>
  <si>
    <t>P3K</t>
  </si>
  <si>
    <t>Sp.KJ</t>
  </si>
  <si>
    <t>RICKKY KURNIAWAN</t>
  </si>
  <si>
    <t>Sp.B</t>
  </si>
  <si>
    <t>RONY .H.R</t>
  </si>
  <si>
    <t>Sp.THT,KL,Mkes,Mhum</t>
  </si>
  <si>
    <t>SAFFANA OKKA YULIANI</t>
  </si>
  <si>
    <t>2-007-22972-3</t>
  </si>
  <si>
    <t>SOFA PRIMATIR</t>
  </si>
  <si>
    <t>Sp.PA</t>
  </si>
  <si>
    <t>TITO GURITNO</t>
  </si>
  <si>
    <t>UDI SUHONO</t>
  </si>
  <si>
    <t>MITRA</t>
  </si>
  <si>
    <t>Sp.B FINACS</t>
  </si>
  <si>
    <t>3.007.06632.4</t>
  </si>
  <si>
    <t>VEBRYANTI WAHYU HANDAYANI</t>
  </si>
  <si>
    <t>2.007.07856.3</t>
  </si>
  <si>
    <t>YISLAM ALJAIDI</t>
  </si>
  <si>
    <t>Sp.JP, FIHA</t>
  </si>
  <si>
    <t>2-007-22794-1</t>
  </si>
  <si>
    <t>YOHANNES SUGIARTO</t>
  </si>
  <si>
    <t>2-007-2273-3</t>
  </si>
  <si>
    <t>YUSUF KHAIRUL</t>
  </si>
  <si>
    <t>3.007.15538.6</t>
  </si>
  <si>
    <t>ZAKKA ZAYD ZHULLATULLAH JAYADISASTRA</t>
  </si>
  <si>
    <t>BOY SUMANTOMO</t>
  </si>
  <si>
    <t>Sp.An.</t>
  </si>
  <si>
    <t>2.111.05905.8</t>
  </si>
  <si>
    <t>WINDY KUSUMA</t>
  </si>
  <si>
    <t>AFIF ARIYANWAR</t>
  </si>
  <si>
    <t>DOKTER UMUM</t>
  </si>
  <si>
    <t>APRILLIO BAGAS SRIWISNU</t>
  </si>
  <si>
    <t>ASMARANTIKO REZKI RAFI</t>
  </si>
  <si>
    <t>BRYAN ABEDNEGO</t>
  </si>
  <si>
    <t>DINA SOFIANA</t>
  </si>
  <si>
    <t xml:space="preserve">PNS </t>
  </si>
  <si>
    <t>DOKTER INTERNSHIP</t>
  </si>
  <si>
    <t>BPD JATENG (dr. Rini)</t>
  </si>
  <si>
    <t>IFTINAN</t>
  </si>
  <si>
    <t>MEGA KUMALA PUTRI</t>
  </si>
  <si>
    <t>MEGA PERMATASARI</t>
  </si>
  <si>
    <t>MUH. SULTHON WICAKSANA</t>
  </si>
  <si>
    <t>MUHAMAD AUFA ADITYAWAN</t>
  </si>
  <si>
    <t>2-007.228034</t>
  </si>
  <si>
    <t>MUHAMMAD AULIA FAHMI</t>
  </si>
  <si>
    <t>NARESWARI ASSIFA ULFAH</t>
  </si>
  <si>
    <t>SALMAN FARISY</t>
  </si>
  <si>
    <t>GIARTO PRIMARTONO</t>
  </si>
  <si>
    <t>DOKTER GIGI</t>
  </si>
  <si>
    <t>MANSYUR HAKIM AS</t>
  </si>
  <si>
    <t>ACHMAD ALAYDRUS</t>
  </si>
  <si>
    <t>135.00000.8315.2</t>
  </si>
  <si>
    <t>MANDIRI CAB KARIADI SMG</t>
  </si>
  <si>
    <t>ADI PRADESTA IRFANDI</t>
  </si>
  <si>
    <t>BSI</t>
  </si>
  <si>
    <t>ADIB MUJANAT</t>
  </si>
  <si>
    <t>BNI46</t>
  </si>
  <si>
    <t>ALDILA VIDYA DITHA ARIANTI</t>
  </si>
  <si>
    <t>139.00.1769400.5</t>
  </si>
  <si>
    <t>BANK MANDIRI</t>
  </si>
  <si>
    <t>KHILYATUL BAROROH</t>
  </si>
  <si>
    <t>Sp.P, M.Kes</t>
  </si>
  <si>
    <t>KINGKIN HERU SUBAGYO</t>
  </si>
  <si>
    <t>Sp.THT</t>
  </si>
  <si>
    <t>238.003.888.1</t>
  </si>
  <si>
    <t>BCA</t>
  </si>
  <si>
    <t>RIZAL HAFIZ</t>
  </si>
  <si>
    <t>SRI HANDAYANI</t>
  </si>
  <si>
    <t>Bank Syariah Indonesia</t>
  </si>
  <si>
    <t>TALITHA RETNO KURNIAWATI</t>
  </si>
  <si>
    <t>Sp.KFR</t>
  </si>
  <si>
    <t>BANK SYARIAH INDNESIA</t>
  </si>
  <si>
    <t>WEDO TRI HARDJANTO</t>
  </si>
  <si>
    <t>TAHUN : 20xx</t>
  </si>
  <si>
    <t xml:space="preserve">BULAN :  </t>
  </si>
  <si>
    <t xml:space="preserve">JUMLAH PENDAPATAN BPJS :  </t>
  </si>
  <si>
    <t xml:space="preserve">KONVERSI MENJADI : Rp </t>
  </si>
  <si>
    <t>ALOKASI :          </t>
  </si>
  <si>
    <t xml:space="preserve">LANGSUNG : Rp.  </t>
  </si>
  <si>
    <t xml:space="preserve">TIDAK LANGSUNG Rp.  </t>
  </si>
  <si>
    <t xml:space="preserve">NILAI KONVERSI REMUNERASI : </t>
  </si>
  <si>
    <t>LANGSUNG</t>
  </si>
  <si>
    <t>TIDAK LANGSUNG</t>
  </si>
  <si>
    <t>bersumber dari indeks</t>
  </si>
  <si>
    <t>Konversi Kategori Tidak Langsung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</si>
</sst>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_(* #,##0_);_(* \(#,##0\);_(* &quot;-&quot;??_);_(@_)"/>
  </numFmts>
  <fonts count="5">
    <font>
      <sz val="11"/>
      <color theme="1"/>
      <name val="Calibri"/>
      <charset val="134"/>
      <scheme val="minor"/>
    </font>
    <font>
      <b/>
      <sz val="9"/>
      <color theme="1"/>
      <name val="Calibri"/>
      <family val="2"/>
      <scheme val="minor"/>
    </font>
    <font>
      <sz val="8.2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7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hitung%20JAPEL%20BPJS%20KES%20DESEMBER%20TH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EMBAGIAN"/>
      <sheetName val="ASN"/>
      <sheetName val="NONASN"/>
      <sheetName val="DOKTER"/>
      <sheetName val="Sheet4"/>
      <sheetName val="PERAWAT"/>
      <sheetName val="DIR STR"/>
      <sheetName val="CASE MIX"/>
      <sheetName val="SPI"/>
      <sheetName val="LAB"/>
      <sheetName val="RAD+CL"/>
      <sheetName val="NUTRISIONIS"/>
      <sheetName val="TEKNISI"/>
      <sheetName val="ADM PELAY"/>
      <sheetName val="ADM TU"/>
      <sheetName val="ADM PENJ"/>
      <sheetName val=" NONMED ADM"/>
      <sheetName val="ADM KEPERWT"/>
      <sheetName val="NONMED PENUNJ"/>
      <sheetName val="TEKNISI LAIN"/>
      <sheetName val="IT"/>
      <sheetName val="FARMASI"/>
      <sheetName val="CASEMAG"/>
      <sheetName val="KA INST"/>
      <sheetName val="REHAP"/>
      <sheetName val="BDRS"/>
    </sheetNames>
    <sheetDataSet>
      <sheetData sheetId="0">
        <row r="14">
          <cell r="E14">
            <v>1297223115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topLeftCell="A2" workbookViewId="0">
      <selection activeCell="G12" sqref="G12"/>
    </sheetView>
  </sheetViews>
  <sheetFormatPr defaultColWidth="8.7265625" defaultRowHeight="15" customHeight="1"/>
  <cols>
    <col min="1" max="1" width="2.7265625" customWidth="1"/>
    <col min="2" max="2" width="19.1796875" customWidth="1"/>
    <col min="3" max="3" width="5" customWidth="1"/>
    <col min="4" max="4" width="11.36328125" customWidth="1"/>
    <col min="5" max="6" width="13.6328125" customWidth="1"/>
    <col min="7" max="7" width="14.7265625" customWidth="1"/>
    <col min="8" max="8" width="13.81640625" customWidth="1"/>
    <col min="9" max="9" width="5.90625" customWidth="1"/>
    <col min="10" max="10" width="12.08984375" customWidth="1"/>
    <col min="11" max="11" width="11.36328125" customWidth="1"/>
    <col min="12" max="13" width="13.6328125" customWidth="1"/>
  </cols>
  <sheetData>
    <row r="1" spans="1:13" ht="15" hidden="1" customHeight="1">
      <c r="A1" t="s">
        <v>0</v>
      </c>
    </row>
    <row r="2" spans="1:13" ht="15" customHeight="1">
      <c r="A2" s="14" t="s">
        <v>128</v>
      </c>
    </row>
    <row r="3" spans="1:13" ht="15" customHeight="1">
      <c r="A3" s="14" t="s">
        <v>129</v>
      </c>
    </row>
    <row r="4" spans="1:13" ht="15" customHeight="1">
      <c r="A4" t="s">
        <v>1</v>
      </c>
    </row>
    <row r="5" spans="1:13" ht="15" customHeight="1">
      <c r="A5" s="14" t="s">
        <v>130</v>
      </c>
    </row>
    <row r="6" spans="1:13" ht="15" customHeight="1">
      <c r="A6" s="14" t="s">
        <v>132</v>
      </c>
    </row>
    <row r="7" spans="1:13" ht="15" customHeight="1">
      <c r="A7" s="14" t="s">
        <v>131</v>
      </c>
    </row>
    <row r="8" spans="1:13" ht="15" customHeight="1">
      <c r="A8" s="14" t="s">
        <v>133</v>
      </c>
    </row>
    <row r="9" spans="1:13" ht="15" customHeight="1">
      <c r="A9" s="14" t="s">
        <v>134</v>
      </c>
    </row>
    <row r="10" spans="1:13" ht="15" customHeight="1">
      <c r="A10" s="14" t="s">
        <v>135</v>
      </c>
    </row>
    <row r="11" spans="1:13" ht="8" customHeight="1"/>
    <row r="12" spans="1:13" ht="15" customHeight="1">
      <c r="A12" s="13" t="s">
        <v>2</v>
      </c>
      <c r="B12" s="13" t="s">
        <v>3</v>
      </c>
      <c r="C12" s="13"/>
      <c r="D12" s="13"/>
      <c r="E12" s="2" t="s">
        <v>136</v>
      </c>
      <c r="F12" s="2" t="s">
        <v>137</v>
      </c>
      <c r="G12" s="2" t="s">
        <v>139</v>
      </c>
      <c r="H12" s="2" t="s">
        <v>4</v>
      </c>
      <c r="I12" s="13" t="s">
        <v>5</v>
      </c>
      <c r="J12" s="13"/>
      <c r="K12" s="2" t="s">
        <v>6</v>
      </c>
      <c r="L12" s="13" t="s">
        <v>7</v>
      </c>
      <c r="M12" s="13" t="s">
        <v>8</v>
      </c>
    </row>
    <row r="13" spans="1:13" ht="15" customHeight="1">
      <c r="A13" s="13"/>
      <c r="B13" s="1" t="s">
        <v>9</v>
      </c>
      <c r="C13" s="1"/>
      <c r="D13" s="1" t="s">
        <v>10</v>
      </c>
      <c r="E13" s="3" t="s">
        <v>11</v>
      </c>
      <c r="F13" s="3" t="s">
        <v>138</v>
      </c>
      <c r="G13" s="3" t="s">
        <v>11</v>
      </c>
      <c r="H13" s="3" t="s">
        <v>11</v>
      </c>
      <c r="I13" s="1" t="s">
        <v>12</v>
      </c>
      <c r="J13" s="1" t="s">
        <v>13</v>
      </c>
      <c r="K13" s="3" t="s">
        <v>11</v>
      </c>
      <c r="L13" s="13"/>
      <c r="M13" s="13"/>
    </row>
    <row r="14" spans="1:13" ht="15" customHeight="1">
      <c r="A14" s="4">
        <v>1</v>
      </c>
      <c r="B14" s="5" t="s">
        <v>14</v>
      </c>
      <c r="C14" s="5" t="s">
        <v>15</v>
      </c>
      <c r="D14" s="4" t="s">
        <v>16</v>
      </c>
      <c r="E14" s="6">
        <v>3000000</v>
      </c>
      <c r="F14" s="6">
        <v>7127325</v>
      </c>
      <c r="G14" s="6">
        <v>6703404</v>
      </c>
      <c r="H14" s="6">
        <v>9703404</v>
      </c>
      <c r="I14" s="7">
        <v>2500</v>
      </c>
      <c r="J14" s="6">
        <v>242585</v>
      </c>
      <c r="K14" s="6">
        <v>9460819</v>
      </c>
      <c r="L14" s="8" t="s">
        <v>17</v>
      </c>
      <c r="M14" s="8" t="s">
        <v>18</v>
      </c>
    </row>
    <row r="15" spans="1:13" ht="15" customHeight="1">
      <c r="A15" s="4">
        <v>2</v>
      </c>
      <c r="B15" s="5" t="s">
        <v>19</v>
      </c>
      <c r="C15" s="5" t="s">
        <v>20</v>
      </c>
      <c r="D15" s="4" t="s">
        <v>21</v>
      </c>
      <c r="E15" s="6">
        <v>1500000</v>
      </c>
      <c r="F15" s="6">
        <v>40521819</v>
      </c>
      <c r="G15" s="6">
        <v>38111651</v>
      </c>
      <c r="H15" s="6">
        <v>39611651</v>
      </c>
      <c r="I15" s="4" t="s">
        <v>22</v>
      </c>
      <c r="J15" s="6">
        <v>1980583</v>
      </c>
      <c r="K15" s="6">
        <v>37631068</v>
      </c>
      <c r="L15" s="8" t="s">
        <v>23</v>
      </c>
      <c r="M15" s="8" t="s">
        <v>18</v>
      </c>
    </row>
    <row r="16" spans="1:13" ht="15" customHeight="1">
      <c r="A16" s="4">
        <v>3</v>
      </c>
      <c r="B16" s="5" t="s">
        <v>24</v>
      </c>
      <c r="C16" s="5" t="s">
        <v>20</v>
      </c>
      <c r="D16" s="4" t="s">
        <v>25</v>
      </c>
      <c r="E16" s="6">
        <v>1500000</v>
      </c>
      <c r="F16" s="6">
        <v>28365273</v>
      </c>
      <c r="G16" s="6">
        <v>26678156</v>
      </c>
      <c r="H16" s="6">
        <v>28178156</v>
      </c>
      <c r="I16" s="4" t="s">
        <v>26</v>
      </c>
      <c r="J16" s="6">
        <v>4226723</v>
      </c>
      <c r="K16" s="6">
        <v>23951433</v>
      </c>
      <c r="L16" s="8">
        <v>3007155823</v>
      </c>
      <c r="M16" s="8" t="s">
        <v>18</v>
      </c>
    </row>
    <row r="17" spans="1:13" ht="15" customHeight="1">
      <c r="A17" s="4">
        <v>4</v>
      </c>
      <c r="B17" s="5" t="s">
        <v>27</v>
      </c>
      <c r="C17" s="5" t="s">
        <v>20</v>
      </c>
      <c r="D17" s="4" t="s">
        <v>28</v>
      </c>
      <c r="E17" s="6">
        <v>1500000</v>
      </c>
      <c r="F17" s="6">
        <v>21948912</v>
      </c>
      <c r="G17" s="6">
        <v>20643428</v>
      </c>
      <c r="H17" s="6">
        <v>22143428</v>
      </c>
      <c r="I17" s="4" t="s">
        <v>26</v>
      </c>
      <c r="J17" s="6">
        <v>3321514</v>
      </c>
      <c r="K17" s="6">
        <v>18821914</v>
      </c>
      <c r="L17" s="8" t="s">
        <v>29</v>
      </c>
      <c r="M17" s="8" t="s">
        <v>18</v>
      </c>
    </row>
    <row r="18" spans="1:13" ht="15" customHeight="1">
      <c r="A18" s="4">
        <v>5</v>
      </c>
      <c r="B18" s="5" t="s">
        <v>30</v>
      </c>
      <c r="C18" s="5" t="s">
        <v>20</v>
      </c>
      <c r="D18" s="4" t="s">
        <v>31</v>
      </c>
      <c r="E18" s="6">
        <v>1500000</v>
      </c>
      <c r="F18" s="6">
        <v>96847335</v>
      </c>
      <c r="G18" s="6">
        <v>91087024</v>
      </c>
      <c r="H18" s="6">
        <v>92587024</v>
      </c>
      <c r="I18" s="4" t="s">
        <v>22</v>
      </c>
      <c r="J18" s="6">
        <v>4629351</v>
      </c>
      <c r="K18" s="6">
        <v>87957673</v>
      </c>
      <c r="L18" s="8">
        <v>5053003037</v>
      </c>
      <c r="M18" s="8" t="s">
        <v>32</v>
      </c>
    </row>
    <row r="19" spans="1:13" ht="15" customHeight="1">
      <c r="A19" s="4">
        <v>6</v>
      </c>
      <c r="B19" s="5" t="s">
        <v>33</v>
      </c>
      <c r="C19" s="5" t="s">
        <v>20</v>
      </c>
      <c r="D19" s="4" t="s">
        <v>34</v>
      </c>
      <c r="E19" s="6">
        <v>1500000</v>
      </c>
      <c r="F19" s="6">
        <v>113217674</v>
      </c>
      <c r="G19" s="6">
        <v>106483684</v>
      </c>
      <c r="H19" s="6">
        <v>107983684</v>
      </c>
      <c r="I19" s="4" t="s">
        <v>26</v>
      </c>
      <c r="J19" s="6">
        <v>16197553</v>
      </c>
      <c r="K19" s="6">
        <v>91786131</v>
      </c>
      <c r="L19" s="8" t="s">
        <v>35</v>
      </c>
      <c r="M19" s="8" t="s">
        <v>18</v>
      </c>
    </row>
    <row r="20" spans="1:13" ht="15" customHeight="1">
      <c r="A20" s="4">
        <v>7</v>
      </c>
      <c r="B20" s="5" t="s">
        <v>36</v>
      </c>
      <c r="C20" s="5" t="s">
        <v>20</v>
      </c>
      <c r="D20" s="4" t="s">
        <v>37</v>
      </c>
      <c r="E20" s="6">
        <v>1500000</v>
      </c>
      <c r="F20" s="6">
        <v>35272875</v>
      </c>
      <c r="G20" s="6">
        <v>33174906</v>
      </c>
      <c r="H20" s="6">
        <v>34674906</v>
      </c>
      <c r="I20" s="4" t="s">
        <v>22</v>
      </c>
      <c r="J20" s="6">
        <v>1733745</v>
      </c>
      <c r="K20" s="6">
        <v>32941161</v>
      </c>
      <c r="L20" s="8">
        <v>3007243269</v>
      </c>
      <c r="M20" s="8" t="s">
        <v>18</v>
      </c>
    </row>
    <row r="21" spans="1:13" ht="15" customHeight="1">
      <c r="A21" s="4">
        <v>8</v>
      </c>
      <c r="B21" s="5" t="s">
        <v>38</v>
      </c>
      <c r="C21" s="5" t="s">
        <v>15</v>
      </c>
      <c r="D21" s="4" t="s">
        <v>39</v>
      </c>
      <c r="E21" s="6">
        <v>3000000</v>
      </c>
      <c r="F21" s="6">
        <v>47369018</v>
      </c>
      <c r="G21" s="6">
        <v>44551591</v>
      </c>
      <c r="H21" s="6">
        <v>47551591</v>
      </c>
      <c r="I21" s="7">
        <v>2500</v>
      </c>
      <c r="J21" s="6">
        <v>1188790</v>
      </c>
      <c r="K21" s="6">
        <v>46362801</v>
      </c>
      <c r="L21" s="8">
        <v>2007235227</v>
      </c>
      <c r="M21" s="8" t="s">
        <v>18</v>
      </c>
    </row>
    <row r="22" spans="1:13" ht="15" customHeight="1">
      <c r="A22" s="4">
        <v>9</v>
      </c>
      <c r="B22" s="5" t="s">
        <v>40</v>
      </c>
      <c r="C22" s="5" t="s">
        <v>20</v>
      </c>
      <c r="D22" s="4" t="s">
        <v>41</v>
      </c>
      <c r="E22" s="6">
        <v>1500000</v>
      </c>
      <c r="F22" s="6">
        <v>4701712</v>
      </c>
      <c r="G22" s="6">
        <v>4422062</v>
      </c>
      <c r="H22" s="6">
        <v>5922062</v>
      </c>
      <c r="I22" s="4" t="s">
        <v>26</v>
      </c>
      <c r="J22" s="6">
        <v>888309</v>
      </c>
      <c r="K22" s="6">
        <v>5033753</v>
      </c>
      <c r="L22" s="8">
        <v>3007248112</v>
      </c>
      <c r="M22" s="8" t="s">
        <v>18</v>
      </c>
    </row>
    <row r="23" spans="1:13" ht="15" customHeight="1">
      <c r="A23" s="4">
        <v>10</v>
      </c>
      <c r="B23" s="5" t="s">
        <v>42</v>
      </c>
      <c r="C23" s="5" t="s">
        <v>20</v>
      </c>
      <c r="D23" s="4" t="s">
        <v>43</v>
      </c>
      <c r="E23" s="6">
        <v>1500000</v>
      </c>
      <c r="F23" s="6">
        <v>2998126</v>
      </c>
      <c r="G23" s="6">
        <v>2819802</v>
      </c>
      <c r="H23" s="6">
        <v>4319802</v>
      </c>
      <c r="I23" s="4" t="s">
        <v>22</v>
      </c>
      <c r="J23" s="6">
        <v>215990</v>
      </c>
      <c r="K23" s="6">
        <v>4103812</v>
      </c>
      <c r="L23" s="8">
        <v>3007241061</v>
      </c>
      <c r="M23" s="8" t="s">
        <v>18</v>
      </c>
    </row>
    <row r="24" spans="1:13" ht="15" customHeight="1">
      <c r="A24" s="4">
        <v>11</v>
      </c>
      <c r="B24" s="5" t="s">
        <v>44</v>
      </c>
      <c r="C24" s="5" t="s">
        <v>20</v>
      </c>
      <c r="D24" s="4" t="s">
        <v>45</v>
      </c>
      <c r="E24" s="6">
        <v>1500000</v>
      </c>
      <c r="F24" s="6">
        <v>9379953</v>
      </c>
      <c r="G24" s="6">
        <v>8822049</v>
      </c>
      <c r="H24" s="6">
        <v>10322049</v>
      </c>
      <c r="I24" s="4" t="s">
        <v>26</v>
      </c>
      <c r="J24" s="6">
        <v>1548307</v>
      </c>
      <c r="K24" s="6">
        <v>8773742</v>
      </c>
      <c r="L24" s="8">
        <v>3007177754</v>
      </c>
      <c r="M24" s="8" t="s">
        <v>18</v>
      </c>
    </row>
    <row r="25" spans="1:13" ht="15" customHeight="1">
      <c r="A25" s="4">
        <v>12</v>
      </c>
      <c r="B25" s="5" t="s">
        <v>46</v>
      </c>
      <c r="C25" s="5" t="s">
        <v>20</v>
      </c>
      <c r="D25" s="4" t="s">
        <v>47</v>
      </c>
      <c r="E25" s="6">
        <v>1500000</v>
      </c>
      <c r="F25" s="6">
        <v>26360750</v>
      </c>
      <c r="G25" s="6">
        <v>24792859</v>
      </c>
      <c r="H25" s="6">
        <v>26292859</v>
      </c>
      <c r="I25" s="4" t="s">
        <v>26</v>
      </c>
      <c r="J25" s="6">
        <v>3943929</v>
      </c>
      <c r="K25" s="6">
        <v>22348930</v>
      </c>
      <c r="L25" s="8" t="s">
        <v>35</v>
      </c>
      <c r="M25" s="8" t="s">
        <v>18</v>
      </c>
    </row>
    <row r="26" spans="1:13" ht="15" customHeight="1">
      <c r="A26" s="4">
        <v>13</v>
      </c>
      <c r="B26" s="5" t="s">
        <v>48</v>
      </c>
      <c r="C26" s="5" t="s">
        <v>20</v>
      </c>
      <c r="D26" s="4" t="s">
        <v>49</v>
      </c>
      <c r="E26" s="6">
        <v>1500000</v>
      </c>
      <c r="F26" s="6">
        <v>76185794</v>
      </c>
      <c r="G26" s="6">
        <v>71654396</v>
      </c>
      <c r="H26" s="6">
        <v>73154396</v>
      </c>
      <c r="I26" s="4" t="s">
        <v>26</v>
      </c>
      <c r="J26" s="6">
        <v>10973159</v>
      </c>
      <c r="K26" s="6">
        <v>62181237</v>
      </c>
      <c r="L26" s="8" t="s">
        <v>50</v>
      </c>
      <c r="M26" s="8" t="s">
        <v>18</v>
      </c>
    </row>
    <row r="27" spans="1:13" ht="15" customHeight="1">
      <c r="A27" s="4">
        <v>14</v>
      </c>
      <c r="B27" s="5" t="s">
        <v>51</v>
      </c>
      <c r="C27" s="5" t="s">
        <v>20</v>
      </c>
      <c r="D27" s="4" t="s">
        <v>37</v>
      </c>
      <c r="E27" s="6">
        <v>1500000</v>
      </c>
      <c r="F27" s="6">
        <v>13873432</v>
      </c>
      <c r="G27" s="6">
        <v>13048263</v>
      </c>
      <c r="H27" s="6">
        <v>14548263</v>
      </c>
      <c r="I27" s="4" t="s">
        <v>22</v>
      </c>
      <c r="J27" s="6">
        <v>727413</v>
      </c>
      <c r="K27" s="6">
        <v>13820850</v>
      </c>
      <c r="L27" s="8">
        <v>3133013384</v>
      </c>
      <c r="M27" s="8" t="s">
        <v>18</v>
      </c>
    </row>
    <row r="28" spans="1:13" ht="15" customHeight="1">
      <c r="A28" s="4">
        <v>15</v>
      </c>
      <c r="B28" s="5" t="s">
        <v>52</v>
      </c>
      <c r="C28" s="5" t="s">
        <v>20</v>
      </c>
      <c r="D28" s="4" t="s">
        <v>53</v>
      </c>
      <c r="E28" s="6">
        <v>1500000</v>
      </c>
      <c r="F28" s="6">
        <v>33416011</v>
      </c>
      <c r="G28" s="6">
        <v>31428485</v>
      </c>
      <c r="H28" s="6">
        <v>32928485</v>
      </c>
      <c r="I28" s="4" t="s">
        <v>26</v>
      </c>
      <c r="J28" s="6">
        <v>4939273</v>
      </c>
      <c r="K28" s="6">
        <v>27989212</v>
      </c>
      <c r="L28" s="8">
        <v>5053006291</v>
      </c>
      <c r="M28" s="8" t="s">
        <v>32</v>
      </c>
    </row>
    <row r="29" spans="1:13" ht="15" customHeight="1">
      <c r="A29" s="4">
        <v>16</v>
      </c>
      <c r="B29" s="5" t="s">
        <v>54</v>
      </c>
      <c r="C29" s="5" t="s">
        <v>55</v>
      </c>
      <c r="D29" s="4" t="s">
        <v>56</v>
      </c>
      <c r="E29" s="6">
        <v>3000000</v>
      </c>
      <c r="F29" s="6">
        <v>4212750</v>
      </c>
      <c r="G29" s="6">
        <v>3962183</v>
      </c>
      <c r="H29" s="6">
        <v>6962183</v>
      </c>
      <c r="I29" s="4" t="s">
        <v>22</v>
      </c>
      <c r="J29" s="6">
        <v>348109</v>
      </c>
      <c r="K29" s="6">
        <v>6614074</v>
      </c>
      <c r="L29" s="8">
        <v>2007168821</v>
      </c>
      <c r="M29" s="8" t="s">
        <v>18</v>
      </c>
    </row>
    <row r="30" spans="1:13" ht="15" customHeight="1">
      <c r="A30" s="4">
        <v>17</v>
      </c>
      <c r="B30" s="5" t="s">
        <v>57</v>
      </c>
      <c r="C30" s="5" t="s">
        <v>15</v>
      </c>
      <c r="D30" s="4" t="s">
        <v>58</v>
      </c>
      <c r="E30" s="6">
        <v>3000000</v>
      </c>
      <c r="F30" s="6">
        <v>65580326</v>
      </c>
      <c r="G30" s="6">
        <v>61679722</v>
      </c>
      <c r="H30" s="6">
        <v>64679722</v>
      </c>
      <c r="I30" s="7">
        <v>2500</v>
      </c>
      <c r="J30" s="6">
        <v>1616993</v>
      </c>
      <c r="K30" s="6">
        <v>63062729</v>
      </c>
      <c r="L30" s="9">
        <v>2007187605</v>
      </c>
      <c r="M30" s="8" t="s">
        <v>18</v>
      </c>
    </row>
    <row r="31" spans="1:13" ht="15" customHeight="1">
      <c r="A31" s="4">
        <v>18</v>
      </c>
      <c r="B31" s="5" t="s">
        <v>59</v>
      </c>
      <c r="C31" s="5" t="s">
        <v>20</v>
      </c>
      <c r="D31" s="4" t="s">
        <v>60</v>
      </c>
      <c r="E31" s="6">
        <v>1500000</v>
      </c>
      <c r="F31" s="6">
        <v>3201675</v>
      </c>
      <c r="G31" s="6">
        <v>3011245</v>
      </c>
      <c r="H31" s="6">
        <v>4511245</v>
      </c>
      <c r="I31" s="4" t="s">
        <v>26</v>
      </c>
      <c r="J31" s="6">
        <v>676687</v>
      </c>
      <c r="K31" s="6">
        <v>3834558</v>
      </c>
      <c r="L31" s="8">
        <v>3007171403</v>
      </c>
      <c r="M31" s="8" t="s">
        <v>18</v>
      </c>
    </row>
    <row r="32" spans="1:13" ht="15" customHeight="1">
      <c r="A32" s="4">
        <v>19</v>
      </c>
      <c r="B32" s="5" t="s">
        <v>61</v>
      </c>
      <c r="C32" s="5" t="s">
        <v>15</v>
      </c>
      <c r="D32" s="4" t="s">
        <v>16</v>
      </c>
      <c r="E32" s="6">
        <v>3000000</v>
      </c>
      <c r="F32" s="6">
        <v>18924057</v>
      </c>
      <c r="G32" s="6">
        <v>17798487</v>
      </c>
      <c r="H32" s="6">
        <v>20798487</v>
      </c>
      <c r="I32" s="7">
        <v>2500</v>
      </c>
      <c r="J32" s="6">
        <v>519962</v>
      </c>
      <c r="K32" s="6">
        <v>20278525</v>
      </c>
      <c r="L32" s="8" t="s">
        <v>62</v>
      </c>
      <c r="M32" s="8" t="s">
        <v>18</v>
      </c>
    </row>
    <row r="33" spans="1:13" ht="15" customHeight="1">
      <c r="A33" s="4">
        <v>20</v>
      </c>
      <c r="B33" s="5" t="s">
        <v>63</v>
      </c>
      <c r="C33" s="5" t="s">
        <v>20</v>
      </c>
      <c r="D33" s="4" t="s">
        <v>64</v>
      </c>
      <c r="E33" s="6">
        <v>1500000</v>
      </c>
      <c r="F33" s="6">
        <v>16208728</v>
      </c>
      <c r="G33" s="6">
        <v>15244661</v>
      </c>
      <c r="H33" s="6">
        <v>16744661</v>
      </c>
      <c r="I33" s="4" t="s">
        <v>26</v>
      </c>
      <c r="J33" s="6">
        <v>2511699</v>
      </c>
      <c r="K33" s="6">
        <v>14232962</v>
      </c>
      <c r="L33" s="9">
        <v>3007120558</v>
      </c>
      <c r="M33" s="8" t="s">
        <v>18</v>
      </c>
    </row>
    <row r="34" spans="1:13" ht="15" customHeight="1">
      <c r="A34" s="4">
        <v>21</v>
      </c>
      <c r="B34" s="5" t="s">
        <v>65</v>
      </c>
      <c r="C34" s="5" t="s">
        <v>20</v>
      </c>
      <c r="D34" s="4" t="s">
        <v>53</v>
      </c>
      <c r="E34" s="6">
        <v>1500000</v>
      </c>
      <c r="F34" s="6">
        <v>18838878</v>
      </c>
      <c r="G34" s="6">
        <v>17718374</v>
      </c>
      <c r="H34" s="6">
        <v>19218374</v>
      </c>
      <c r="I34" s="4" t="s">
        <v>26</v>
      </c>
      <c r="J34" s="6">
        <v>2882756</v>
      </c>
      <c r="K34" s="6">
        <v>16335618</v>
      </c>
      <c r="L34" s="8">
        <v>3007065964</v>
      </c>
      <c r="M34" s="8" t="s">
        <v>18</v>
      </c>
    </row>
    <row r="35" spans="1:13" ht="15" customHeight="1">
      <c r="A35" s="4">
        <v>22</v>
      </c>
      <c r="B35" s="5" t="s">
        <v>66</v>
      </c>
      <c r="C35" s="5" t="s">
        <v>67</v>
      </c>
      <c r="D35" s="4" t="s">
        <v>68</v>
      </c>
      <c r="E35" s="6">
        <v>1500000</v>
      </c>
      <c r="F35" s="6">
        <v>30281633</v>
      </c>
      <c r="G35" s="6">
        <v>28480533</v>
      </c>
      <c r="H35" s="6">
        <v>29980533</v>
      </c>
      <c r="I35" s="4" t="s">
        <v>26</v>
      </c>
      <c r="J35" s="6">
        <v>4497080</v>
      </c>
      <c r="K35" s="6">
        <v>25483453</v>
      </c>
      <c r="L35" s="8" t="s">
        <v>69</v>
      </c>
      <c r="M35" s="8" t="s">
        <v>18</v>
      </c>
    </row>
    <row r="36" spans="1:13" ht="15" customHeight="1">
      <c r="A36" s="4">
        <v>23</v>
      </c>
      <c r="B36" s="5" t="s">
        <v>70</v>
      </c>
      <c r="C36" s="5" t="s">
        <v>20</v>
      </c>
      <c r="D36" s="4" t="s">
        <v>47</v>
      </c>
      <c r="E36" s="6">
        <v>1500000</v>
      </c>
      <c r="F36" s="6">
        <v>75360000</v>
      </c>
      <c r="G36" s="6">
        <v>70877718</v>
      </c>
      <c r="H36" s="6">
        <v>72377718</v>
      </c>
      <c r="I36" s="4" t="s">
        <v>22</v>
      </c>
      <c r="J36" s="6">
        <v>3618886</v>
      </c>
      <c r="K36" s="6">
        <v>68758832</v>
      </c>
      <c r="L36" s="8" t="s">
        <v>71</v>
      </c>
      <c r="M36" s="8" t="s">
        <v>18</v>
      </c>
    </row>
    <row r="37" spans="1:13" ht="15" customHeight="1">
      <c r="A37" s="4">
        <v>24</v>
      </c>
      <c r="B37" s="5" t="s">
        <v>72</v>
      </c>
      <c r="C37" s="5" t="s">
        <v>15</v>
      </c>
      <c r="D37" s="4" t="s">
        <v>73</v>
      </c>
      <c r="E37" s="6">
        <v>0</v>
      </c>
      <c r="F37" s="6">
        <v>1460000</v>
      </c>
      <c r="G37" s="6">
        <v>1373161</v>
      </c>
      <c r="H37" s="6">
        <v>1373161</v>
      </c>
      <c r="I37" s="7">
        <v>2500</v>
      </c>
      <c r="J37" s="6">
        <v>34329</v>
      </c>
      <c r="K37" s="6">
        <v>1338832</v>
      </c>
      <c r="L37" s="8" t="s">
        <v>74</v>
      </c>
      <c r="M37" s="8" t="s">
        <v>18</v>
      </c>
    </row>
    <row r="38" spans="1:13" ht="15" customHeight="1">
      <c r="A38" s="4">
        <v>25</v>
      </c>
      <c r="B38" s="5" t="s">
        <v>75</v>
      </c>
      <c r="C38" s="5" t="s">
        <v>15</v>
      </c>
      <c r="D38" s="4" t="s">
        <v>58</v>
      </c>
      <c r="E38" s="6">
        <v>3000000</v>
      </c>
      <c r="F38" s="6">
        <v>48705754</v>
      </c>
      <c r="G38" s="6">
        <v>45808821</v>
      </c>
      <c r="H38" s="6">
        <v>48808821</v>
      </c>
      <c r="I38" s="7">
        <v>2500</v>
      </c>
      <c r="J38" s="6">
        <v>1220221</v>
      </c>
      <c r="K38" s="6">
        <v>47588600</v>
      </c>
      <c r="L38" s="8" t="s">
        <v>76</v>
      </c>
      <c r="M38" s="8" t="s">
        <v>18</v>
      </c>
    </row>
    <row r="39" spans="1:13" ht="15" customHeight="1">
      <c r="A39" s="4">
        <v>26</v>
      </c>
      <c r="B39" s="5" t="s">
        <v>77</v>
      </c>
      <c r="C39" s="5" t="s">
        <v>20</v>
      </c>
      <c r="D39" s="4" t="s">
        <v>39</v>
      </c>
      <c r="E39" s="6">
        <v>1500000</v>
      </c>
      <c r="F39" s="6">
        <v>39100636</v>
      </c>
      <c r="G39" s="6">
        <v>36774997</v>
      </c>
      <c r="H39" s="6">
        <v>38274997</v>
      </c>
      <c r="I39" s="4" t="s">
        <v>26</v>
      </c>
      <c r="J39" s="6">
        <v>5741250</v>
      </c>
      <c r="K39" s="6">
        <v>32533747</v>
      </c>
      <c r="L39" s="8" t="s">
        <v>78</v>
      </c>
      <c r="M39" s="8" t="s">
        <v>18</v>
      </c>
    </row>
    <row r="40" spans="1:13" ht="15" customHeight="1">
      <c r="A40" s="4">
        <v>27</v>
      </c>
      <c r="B40" s="5" t="s">
        <v>79</v>
      </c>
      <c r="C40" s="5" t="s">
        <v>15</v>
      </c>
      <c r="D40" s="4" t="s">
        <v>31</v>
      </c>
      <c r="E40" s="6">
        <v>3000000</v>
      </c>
      <c r="F40" s="6">
        <v>1017952</v>
      </c>
      <c r="G40" s="6">
        <v>957405</v>
      </c>
      <c r="H40" s="6">
        <v>3957405</v>
      </c>
      <c r="I40" s="7">
        <v>2500</v>
      </c>
      <c r="J40" s="6">
        <v>98935</v>
      </c>
      <c r="K40" s="6">
        <v>3858470</v>
      </c>
      <c r="L40" s="8">
        <v>2007239834</v>
      </c>
      <c r="M40" s="8" t="s">
        <v>18</v>
      </c>
    </row>
    <row r="41" spans="1:13" ht="15" customHeight="1">
      <c r="A41" s="4">
        <v>28</v>
      </c>
      <c r="B41" s="5" t="s">
        <v>80</v>
      </c>
      <c r="C41" s="5" t="s">
        <v>55</v>
      </c>
      <c r="D41" s="4" t="s">
        <v>81</v>
      </c>
      <c r="E41" s="6">
        <v>3000000</v>
      </c>
      <c r="F41" s="6">
        <v>23191681</v>
      </c>
      <c r="G41" s="6">
        <v>21812313</v>
      </c>
      <c r="H41" s="6">
        <v>24812313</v>
      </c>
      <c r="I41" s="4" t="s">
        <v>22</v>
      </c>
      <c r="J41" s="6">
        <v>1240616</v>
      </c>
      <c r="K41" s="6">
        <v>23571697</v>
      </c>
      <c r="L41" s="8" t="s">
        <v>82</v>
      </c>
      <c r="M41" s="8" t="s">
        <v>18</v>
      </c>
    </row>
    <row r="42" spans="1:13" ht="15" customHeight="1">
      <c r="A42" s="4">
        <v>29</v>
      </c>
      <c r="B42" s="5" t="s">
        <v>83</v>
      </c>
      <c r="C42" s="5" t="s">
        <v>20</v>
      </c>
      <c r="D42" s="4" t="s">
        <v>81</v>
      </c>
      <c r="E42" s="6">
        <v>1500000</v>
      </c>
      <c r="F42" s="6">
        <v>68026725</v>
      </c>
      <c r="G42" s="6">
        <v>63980614</v>
      </c>
      <c r="H42" s="6">
        <v>65480614</v>
      </c>
      <c r="I42" s="4" t="s">
        <v>22</v>
      </c>
      <c r="J42" s="6">
        <v>3274031</v>
      </c>
      <c r="K42" s="6">
        <v>62206583</v>
      </c>
      <c r="L42" s="8">
        <v>3007245717</v>
      </c>
      <c r="M42" s="8" t="s">
        <v>18</v>
      </c>
    </row>
    <row r="43" spans="1:13" ht="15" customHeight="1">
      <c r="A43" s="4">
        <v>30</v>
      </c>
      <c r="B43" s="5" t="s">
        <v>84</v>
      </c>
      <c r="C43" s="5" t="s">
        <v>20</v>
      </c>
      <c r="D43" s="4" t="s">
        <v>85</v>
      </c>
      <c r="E43" s="6">
        <v>2587912</v>
      </c>
      <c r="F43" s="6">
        <v>8610000</v>
      </c>
      <c r="G43" s="6">
        <v>8097891</v>
      </c>
      <c r="H43" s="6">
        <v>10685803</v>
      </c>
      <c r="I43" s="4" t="s">
        <v>22</v>
      </c>
      <c r="J43" s="6">
        <v>534290</v>
      </c>
      <c r="K43" s="6">
        <v>10151513</v>
      </c>
      <c r="L43" s="9">
        <v>3007290577</v>
      </c>
      <c r="M43" s="8" t="s">
        <v>18</v>
      </c>
    </row>
    <row r="44" spans="1:13" ht="15" customHeight="1">
      <c r="A44" s="4">
        <v>31</v>
      </c>
      <c r="B44" s="5" t="s">
        <v>86</v>
      </c>
      <c r="C44" s="5" t="s">
        <v>20</v>
      </c>
      <c r="D44" s="4" t="s">
        <v>85</v>
      </c>
      <c r="E44" s="6">
        <v>2489011</v>
      </c>
      <c r="F44" s="6">
        <v>7220000</v>
      </c>
      <c r="G44" s="6">
        <v>6790566</v>
      </c>
      <c r="H44" s="6">
        <v>9279577</v>
      </c>
      <c r="I44" s="4" t="s">
        <v>22</v>
      </c>
      <c r="J44" s="6">
        <v>463979</v>
      </c>
      <c r="K44" s="6">
        <v>8815598</v>
      </c>
      <c r="L44" s="9">
        <v>3007290534</v>
      </c>
      <c r="M44" s="8" t="s">
        <v>18</v>
      </c>
    </row>
    <row r="45" spans="1:13" ht="15" customHeight="1">
      <c r="A45" s="4">
        <v>32</v>
      </c>
      <c r="B45" s="5" t="s">
        <v>87</v>
      </c>
      <c r="C45" s="5" t="s">
        <v>15</v>
      </c>
      <c r="D45" s="4" t="s">
        <v>85</v>
      </c>
      <c r="E45" s="6">
        <v>2587912</v>
      </c>
      <c r="F45" s="6">
        <v>8985000</v>
      </c>
      <c r="G45" s="6">
        <v>8450587</v>
      </c>
      <c r="H45" s="6">
        <v>11038499</v>
      </c>
      <c r="I45" s="7">
        <v>2500</v>
      </c>
      <c r="J45" s="6">
        <v>275962</v>
      </c>
      <c r="K45" s="6">
        <v>10762537</v>
      </c>
      <c r="L45" s="8">
        <v>2007237238</v>
      </c>
      <c r="M45" s="8" t="s">
        <v>18</v>
      </c>
    </row>
    <row r="46" spans="1:13" ht="15" customHeight="1">
      <c r="A46" s="4">
        <v>33</v>
      </c>
      <c r="B46" s="5" t="s">
        <v>88</v>
      </c>
      <c r="C46" s="5" t="s">
        <v>15</v>
      </c>
      <c r="D46" s="4" t="s">
        <v>85</v>
      </c>
      <c r="E46" s="6">
        <v>2587912</v>
      </c>
      <c r="F46" s="6">
        <v>10405000</v>
      </c>
      <c r="G46" s="6">
        <v>9786128</v>
      </c>
      <c r="H46" s="6">
        <v>12374040</v>
      </c>
      <c r="I46" s="7">
        <v>2500</v>
      </c>
      <c r="J46" s="6">
        <v>309351</v>
      </c>
      <c r="K46" s="6">
        <v>12064689</v>
      </c>
      <c r="L46" s="8">
        <v>2003438824</v>
      </c>
      <c r="M46" s="8" t="s">
        <v>18</v>
      </c>
    </row>
    <row r="47" spans="1:13" ht="15" customHeight="1">
      <c r="A47" s="4">
        <v>34</v>
      </c>
      <c r="B47" s="5" t="s">
        <v>89</v>
      </c>
      <c r="C47" s="5" t="s">
        <v>90</v>
      </c>
      <c r="D47" s="4" t="s">
        <v>85</v>
      </c>
      <c r="E47" s="6">
        <v>1500000</v>
      </c>
      <c r="F47" s="6">
        <v>10905000</v>
      </c>
      <c r="G47" s="6">
        <v>10256389</v>
      </c>
      <c r="H47" s="6">
        <v>11756389</v>
      </c>
      <c r="I47" s="4" t="s">
        <v>22</v>
      </c>
      <c r="J47" s="6">
        <v>587819</v>
      </c>
      <c r="K47" s="6">
        <v>11168570</v>
      </c>
      <c r="L47" s="9">
        <v>3007290518</v>
      </c>
      <c r="M47" s="8" t="s">
        <v>18</v>
      </c>
    </row>
    <row r="48" spans="1:13" ht="15" customHeight="1">
      <c r="A48" s="4">
        <v>35</v>
      </c>
      <c r="B48" s="5" t="s">
        <v>91</v>
      </c>
      <c r="C48" s="5"/>
      <c r="D48" s="4" t="s">
        <v>85</v>
      </c>
      <c r="E48" s="6">
        <v>0</v>
      </c>
      <c r="F48" s="6">
        <v>6522500</v>
      </c>
      <c r="G48" s="6">
        <v>6134552</v>
      </c>
      <c r="H48" s="6">
        <v>6134552</v>
      </c>
      <c r="I48" s="7">
        <v>2500</v>
      </c>
      <c r="J48" s="6">
        <v>153364</v>
      </c>
      <c r="K48" s="6">
        <v>5981188</v>
      </c>
      <c r="L48" s="8">
        <v>3007065794</v>
      </c>
      <c r="M48" s="8" t="s">
        <v>92</v>
      </c>
    </row>
    <row r="49" spans="1:13" ht="15" customHeight="1">
      <c r="A49" s="4">
        <v>36</v>
      </c>
      <c r="B49" s="5" t="s">
        <v>93</v>
      </c>
      <c r="C49" s="5" t="s">
        <v>15</v>
      </c>
      <c r="D49" s="4" t="s">
        <v>85</v>
      </c>
      <c r="E49" s="6">
        <v>2587912</v>
      </c>
      <c r="F49" s="6">
        <v>7475000</v>
      </c>
      <c r="G49" s="6">
        <v>7030400</v>
      </c>
      <c r="H49" s="6">
        <v>9618312</v>
      </c>
      <c r="I49" s="7">
        <v>2500</v>
      </c>
      <c r="J49" s="6">
        <v>240458</v>
      </c>
      <c r="K49" s="6">
        <v>9377854</v>
      </c>
      <c r="L49" s="8">
        <v>2007222800</v>
      </c>
      <c r="M49" s="8" t="s">
        <v>18</v>
      </c>
    </row>
    <row r="50" spans="1:13" ht="15" customHeight="1">
      <c r="A50" s="4">
        <v>37</v>
      </c>
      <c r="B50" s="5" t="s">
        <v>94</v>
      </c>
      <c r="C50" s="5" t="s">
        <v>20</v>
      </c>
      <c r="D50" s="4" t="s">
        <v>85</v>
      </c>
      <c r="E50" s="6">
        <v>1500000</v>
      </c>
      <c r="F50" s="6">
        <v>2100000</v>
      </c>
      <c r="G50" s="6">
        <v>1975095</v>
      </c>
      <c r="H50" s="6">
        <v>3475095</v>
      </c>
      <c r="I50" s="4" t="s">
        <v>22</v>
      </c>
      <c r="J50" s="6">
        <v>173755</v>
      </c>
      <c r="K50" s="6">
        <v>3301340</v>
      </c>
      <c r="L50" s="9">
        <v>3007290551</v>
      </c>
      <c r="M50" s="8" t="s">
        <v>18</v>
      </c>
    </row>
    <row r="51" spans="1:13" ht="15" customHeight="1">
      <c r="A51" s="4">
        <v>38</v>
      </c>
      <c r="B51" s="5" t="s">
        <v>95</v>
      </c>
      <c r="C51" s="5" t="s">
        <v>20</v>
      </c>
      <c r="D51" s="4" t="s">
        <v>85</v>
      </c>
      <c r="E51" s="6">
        <v>1500000</v>
      </c>
      <c r="F51" s="6">
        <v>8175000</v>
      </c>
      <c r="G51" s="6">
        <v>7688764</v>
      </c>
      <c r="H51" s="6">
        <v>9188764</v>
      </c>
      <c r="I51" s="4" t="s">
        <v>22</v>
      </c>
      <c r="J51" s="6">
        <v>459438</v>
      </c>
      <c r="K51" s="6">
        <v>8729326</v>
      </c>
      <c r="L51" s="9">
        <v>3007290585</v>
      </c>
      <c r="M51" s="8" t="s">
        <v>18</v>
      </c>
    </row>
    <row r="52" spans="1:13" ht="15" customHeight="1">
      <c r="A52" s="4">
        <v>39</v>
      </c>
      <c r="B52" s="5" t="s">
        <v>96</v>
      </c>
      <c r="C52" s="5" t="s">
        <v>15</v>
      </c>
      <c r="D52" s="4" t="s">
        <v>85</v>
      </c>
      <c r="E52" s="6">
        <v>2587912</v>
      </c>
      <c r="F52" s="6">
        <v>9545000</v>
      </c>
      <c r="G52" s="6">
        <v>8977279</v>
      </c>
      <c r="H52" s="6">
        <v>11565191</v>
      </c>
      <c r="I52" s="7">
        <v>2500</v>
      </c>
      <c r="J52" s="6">
        <v>289130</v>
      </c>
      <c r="K52" s="6">
        <v>11276061</v>
      </c>
      <c r="L52" s="8">
        <v>3109429804</v>
      </c>
      <c r="M52" s="8" t="s">
        <v>18</v>
      </c>
    </row>
    <row r="53" spans="1:13" ht="15" customHeight="1">
      <c r="A53" s="4">
        <v>40</v>
      </c>
      <c r="B53" s="5" t="s">
        <v>97</v>
      </c>
      <c r="C53" s="5" t="s">
        <v>15</v>
      </c>
      <c r="D53" s="4" t="s">
        <v>85</v>
      </c>
      <c r="E53" s="6">
        <v>2489011</v>
      </c>
      <c r="F53" s="6">
        <v>8510000</v>
      </c>
      <c r="G53" s="6">
        <v>8003840</v>
      </c>
      <c r="H53" s="6">
        <v>10492851</v>
      </c>
      <c r="I53" s="7">
        <v>2500</v>
      </c>
      <c r="J53" s="6">
        <v>262321</v>
      </c>
      <c r="K53" s="6">
        <v>10230530</v>
      </c>
      <c r="L53" s="8" t="s">
        <v>98</v>
      </c>
      <c r="M53" s="8" t="s">
        <v>18</v>
      </c>
    </row>
    <row r="54" spans="1:13" ht="15" customHeight="1">
      <c r="A54" s="4">
        <v>41</v>
      </c>
      <c r="B54" s="5" t="s">
        <v>99</v>
      </c>
      <c r="C54" s="5" t="s">
        <v>20</v>
      </c>
      <c r="D54" s="4" t="s">
        <v>85</v>
      </c>
      <c r="E54" s="6">
        <v>2390110</v>
      </c>
      <c r="F54" s="6">
        <v>9050000</v>
      </c>
      <c r="G54" s="6">
        <v>8511721</v>
      </c>
      <c r="H54" s="6">
        <v>10901831</v>
      </c>
      <c r="I54" s="4" t="s">
        <v>22</v>
      </c>
      <c r="J54" s="6">
        <v>545092</v>
      </c>
      <c r="K54" s="6">
        <v>10356739</v>
      </c>
      <c r="L54" s="9">
        <v>3007290542</v>
      </c>
      <c r="M54" s="8" t="s">
        <v>18</v>
      </c>
    </row>
    <row r="55" spans="1:13" ht="15" customHeight="1">
      <c r="A55" s="4">
        <v>42</v>
      </c>
      <c r="B55" s="5" t="s">
        <v>100</v>
      </c>
      <c r="C55" s="5" t="s">
        <v>20</v>
      </c>
      <c r="D55" s="4" t="s">
        <v>85</v>
      </c>
      <c r="E55" s="6">
        <v>1500000</v>
      </c>
      <c r="F55" s="6">
        <v>0</v>
      </c>
      <c r="G55" s="6">
        <v>0</v>
      </c>
      <c r="H55" s="6">
        <v>1500000</v>
      </c>
      <c r="I55" s="4" t="s">
        <v>22</v>
      </c>
      <c r="J55" s="6">
        <v>75000</v>
      </c>
      <c r="K55" s="6">
        <v>1425000</v>
      </c>
      <c r="L55" s="8">
        <v>3007240758</v>
      </c>
      <c r="M55" s="8" t="s">
        <v>18</v>
      </c>
    </row>
    <row r="56" spans="1:13" ht="15" customHeight="1">
      <c r="A56" s="4">
        <v>43</v>
      </c>
      <c r="B56" s="5" t="s">
        <v>101</v>
      </c>
      <c r="C56" s="5" t="s">
        <v>20</v>
      </c>
      <c r="D56" s="4" t="s">
        <v>85</v>
      </c>
      <c r="E56" s="6">
        <v>2192308</v>
      </c>
      <c r="F56" s="6">
        <v>8360000</v>
      </c>
      <c r="G56" s="6">
        <v>7862762</v>
      </c>
      <c r="H56" s="6">
        <v>10055070</v>
      </c>
      <c r="I56" s="4" t="s">
        <v>26</v>
      </c>
      <c r="J56" s="6">
        <v>1508261</v>
      </c>
      <c r="K56" s="6">
        <v>8546809</v>
      </c>
      <c r="L56" s="8">
        <v>3007065816</v>
      </c>
      <c r="M56" s="8" t="s">
        <v>18</v>
      </c>
    </row>
    <row r="57" spans="1:13" ht="15" customHeight="1">
      <c r="A57" s="4">
        <v>44</v>
      </c>
      <c r="B57" s="5" t="s">
        <v>102</v>
      </c>
      <c r="C57" s="5" t="s">
        <v>20</v>
      </c>
      <c r="D57" s="4" t="s">
        <v>103</v>
      </c>
      <c r="E57" s="6">
        <v>1500000</v>
      </c>
      <c r="F57" s="6">
        <v>0</v>
      </c>
      <c r="G57" s="6">
        <v>0</v>
      </c>
      <c r="H57" s="6">
        <v>1500000</v>
      </c>
      <c r="I57" s="4" t="s">
        <v>26</v>
      </c>
      <c r="J57" s="6">
        <v>225000</v>
      </c>
      <c r="K57" s="6">
        <v>1275000</v>
      </c>
      <c r="L57" s="8">
        <v>3007122283</v>
      </c>
      <c r="M57" s="8" t="s">
        <v>18</v>
      </c>
    </row>
    <row r="58" spans="1:13" ht="15" customHeight="1">
      <c r="A58" s="4">
        <v>45</v>
      </c>
      <c r="B58" s="5" t="s">
        <v>104</v>
      </c>
      <c r="C58" s="5" t="s">
        <v>20</v>
      </c>
      <c r="D58" s="4" t="s">
        <v>103</v>
      </c>
      <c r="E58" s="6">
        <v>1500000</v>
      </c>
      <c r="F58" s="6">
        <v>0</v>
      </c>
      <c r="G58" s="6">
        <v>0</v>
      </c>
      <c r="H58" s="6">
        <v>1500000</v>
      </c>
      <c r="I58" s="4" t="s">
        <v>26</v>
      </c>
      <c r="J58" s="6">
        <v>225000</v>
      </c>
      <c r="K58" s="6">
        <v>1275000</v>
      </c>
      <c r="L58" s="8">
        <v>3007065506</v>
      </c>
      <c r="M58" s="8" t="s">
        <v>18</v>
      </c>
    </row>
    <row r="59" spans="1:13" ht="15" customHeight="1">
      <c r="A59" s="4">
        <v>46</v>
      </c>
      <c r="B59" s="5" t="s">
        <v>105</v>
      </c>
      <c r="C59" s="5" t="s">
        <v>67</v>
      </c>
      <c r="D59" s="4" t="s">
        <v>56</v>
      </c>
      <c r="E59" s="6">
        <v>1500000</v>
      </c>
      <c r="F59" s="6">
        <v>4444750</v>
      </c>
      <c r="G59" s="6">
        <v>4180384</v>
      </c>
      <c r="H59" s="6">
        <v>5680384</v>
      </c>
      <c r="I59" s="7">
        <v>2500</v>
      </c>
      <c r="J59" s="6">
        <v>142010</v>
      </c>
      <c r="K59" s="6">
        <v>5538374</v>
      </c>
      <c r="L59" s="8" t="s">
        <v>106</v>
      </c>
      <c r="M59" s="8" t="s">
        <v>107</v>
      </c>
    </row>
    <row r="60" spans="1:13" ht="15" customHeight="1">
      <c r="A60" s="4">
        <v>47</v>
      </c>
      <c r="B60" s="5" t="s">
        <v>108</v>
      </c>
      <c r="C60" s="5" t="s">
        <v>67</v>
      </c>
      <c r="D60" s="4" t="s">
        <v>34</v>
      </c>
      <c r="E60" s="6">
        <v>1500000</v>
      </c>
      <c r="F60" s="6">
        <v>7528853</v>
      </c>
      <c r="G60" s="6">
        <v>7081049</v>
      </c>
      <c r="H60" s="6">
        <v>8581049</v>
      </c>
      <c r="I60" s="7">
        <v>2500</v>
      </c>
      <c r="J60" s="6">
        <v>214526</v>
      </c>
      <c r="K60" s="6">
        <v>8366523</v>
      </c>
      <c r="L60" s="8">
        <v>7232392015</v>
      </c>
      <c r="M60" s="8" t="s">
        <v>109</v>
      </c>
    </row>
    <row r="61" spans="1:13" ht="15" customHeight="1">
      <c r="A61" s="4">
        <v>48</v>
      </c>
      <c r="B61" s="5" t="s">
        <v>110</v>
      </c>
      <c r="C61" s="5" t="s">
        <v>67</v>
      </c>
      <c r="D61" s="4" t="s">
        <v>16</v>
      </c>
      <c r="E61" s="6">
        <v>1500000</v>
      </c>
      <c r="F61" s="6">
        <v>12083764</v>
      </c>
      <c r="G61" s="6">
        <v>11365042</v>
      </c>
      <c r="H61" s="6">
        <v>12865042</v>
      </c>
      <c r="I61" s="7">
        <v>2500</v>
      </c>
      <c r="J61" s="6">
        <v>321626</v>
      </c>
      <c r="K61" s="6">
        <v>12543416</v>
      </c>
      <c r="L61" s="8">
        <v>313503410</v>
      </c>
      <c r="M61" s="8" t="s">
        <v>111</v>
      </c>
    </row>
    <row r="62" spans="1:13" ht="15" customHeight="1">
      <c r="A62" s="4">
        <v>49</v>
      </c>
      <c r="B62" s="5" t="s">
        <v>112</v>
      </c>
      <c r="C62" s="5" t="s">
        <v>67</v>
      </c>
      <c r="D62" s="4" t="s">
        <v>37</v>
      </c>
      <c r="E62" s="6">
        <v>1500000</v>
      </c>
      <c r="F62" s="6">
        <v>20167127</v>
      </c>
      <c r="G62" s="6">
        <v>18967621</v>
      </c>
      <c r="H62" s="6">
        <v>20467621</v>
      </c>
      <c r="I62" s="7">
        <v>2500</v>
      </c>
      <c r="J62" s="6">
        <v>511691</v>
      </c>
      <c r="K62" s="6">
        <v>19955930</v>
      </c>
      <c r="L62" s="8" t="s">
        <v>113</v>
      </c>
      <c r="M62" s="8" t="s">
        <v>114</v>
      </c>
    </row>
    <row r="63" spans="1:13" ht="15" customHeight="1">
      <c r="A63" s="4">
        <v>50</v>
      </c>
      <c r="B63" s="5" t="s">
        <v>115</v>
      </c>
      <c r="C63" s="5" t="s">
        <v>20</v>
      </c>
      <c r="D63" s="4" t="s">
        <v>116</v>
      </c>
      <c r="E63" s="6">
        <v>1500000</v>
      </c>
      <c r="F63" s="6">
        <v>38694803</v>
      </c>
      <c r="G63" s="6">
        <v>36393304</v>
      </c>
      <c r="H63" s="6">
        <v>37893304</v>
      </c>
      <c r="I63" s="4" t="s">
        <v>26</v>
      </c>
      <c r="J63" s="6">
        <v>5683996</v>
      </c>
      <c r="K63" s="6">
        <v>32209308</v>
      </c>
      <c r="L63" s="8">
        <v>9222936300</v>
      </c>
      <c r="M63" s="8" t="s">
        <v>109</v>
      </c>
    </row>
    <row r="64" spans="1:13" ht="15" customHeight="1">
      <c r="A64" s="4">
        <v>51</v>
      </c>
      <c r="B64" s="5" t="s">
        <v>117</v>
      </c>
      <c r="C64" s="5" t="s">
        <v>67</v>
      </c>
      <c r="D64" s="4" t="s">
        <v>118</v>
      </c>
      <c r="E64" s="6">
        <v>1500000</v>
      </c>
      <c r="F64" s="6">
        <v>5682083</v>
      </c>
      <c r="G64" s="6">
        <v>5344121</v>
      </c>
      <c r="H64" s="6">
        <v>6844121</v>
      </c>
      <c r="I64" s="4" t="s">
        <v>26</v>
      </c>
      <c r="J64" s="6">
        <v>1026618</v>
      </c>
      <c r="K64" s="6">
        <v>5817503</v>
      </c>
      <c r="L64" s="8" t="s">
        <v>119</v>
      </c>
      <c r="M64" s="8" t="s">
        <v>120</v>
      </c>
    </row>
    <row r="65" spans="1:13" ht="15" customHeight="1">
      <c r="A65" s="4">
        <v>52</v>
      </c>
      <c r="B65" s="5" t="s">
        <v>121</v>
      </c>
      <c r="C65" s="5" t="s">
        <v>20</v>
      </c>
      <c r="D65" s="4" t="s">
        <v>47</v>
      </c>
      <c r="E65" s="6">
        <v>1500000</v>
      </c>
      <c r="F65" s="6">
        <v>40699326</v>
      </c>
      <c r="G65" s="6">
        <v>38278601</v>
      </c>
      <c r="H65" s="6">
        <v>39778601</v>
      </c>
      <c r="I65" s="4" t="s">
        <v>22</v>
      </c>
      <c r="J65" s="6">
        <v>1988930</v>
      </c>
      <c r="K65" s="6">
        <v>37789671</v>
      </c>
      <c r="L65" s="8">
        <v>1704198667</v>
      </c>
      <c r="M65" s="8" t="s">
        <v>109</v>
      </c>
    </row>
    <row r="66" spans="1:13" ht="15" customHeight="1">
      <c r="A66" s="4">
        <v>53</v>
      </c>
      <c r="B66" s="5" t="s">
        <v>122</v>
      </c>
      <c r="C66" s="5" t="s">
        <v>20</v>
      </c>
      <c r="D66" s="4" t="s">
        <v>47</v>
      </c>
      <c r="E66" s="6">
        <v>1500000</v>
      </c>
      <c r="F66" s="6">
        <v>24192200</v>
      </c>
      <c r="G66" s="6">
        <v>22753289</v>
      </c>
      <c r="H66" s="6">
        <v>24253289</v>
      </c>
      <c r="I66" s="4" t="s">
        <v>26</v>
      </c>
      <c r="J66" s="6">
        <v>3637993</v>
      </c>
      <c r="K66" s="6">
        <v>20615296</v>
      </c>
      <c r="L66" s="8">
        <v>7014426398</v>
      </c>
      <c r="M66" s="8" t="s">
        <v>123</v>
      </c>
    </row>
    <row r="67" spans="1:13" ht="15" customHeight="1">
      <c r="A67" s="4">
        <v>54</v>
      </c>
      <c r="B67" s="5" t="s">
        <v>124</v>
      </c>
      <c r="C67" s="5" t="s">
        <v>67</v>
      </c>
      <c r="D67" s="4" t="s">
        <v>125</v>
      </c>
      <c r="E67" s="6">
        <v>1500000</v>
      </c>
      <c r="F67" s="6">
        <v>32417455</v>
      </c>
      <c r="G67" s="6">
        <v>30489320</v>
      </c>
      <c r="H67" s="6">
        <v>31989320</v>
      </c>
      <c r="I67" s="7">
        <v>2500</v>
      </c>
      <c r="J67" s="6">
        <v>799733</v>
      </c>
      <c r="K67" s="6">
        <v>31189587</v>
      </c>
      <c r="L67" s="8">
        <v>1184241937</v>
      </c>
      <c r="M67" s="8" t="s">
        <v>126</v>
      </c>
    </row>
    <row r="68" spans="1:13" ht="15" customHeight="1">
      <c r="A68" s="4">
        <v>55</v>
      </c>
      <c r="B68" s="5" t="s">
        <v>127</v>
      </c>
      <c r="C68" s="5" t="s">
        <v>67</v>
      </c>
      <c r="D68" s="4" t="s">
        <v>16</v>
      </c>
      <c r="E68" s="6">
        <v>1500000</v>
      </c>
      <c r="F68" s="6">
        <v>8933782</v>
      </c>
      <c r="G68" s="6">
        <v>8402416</v>
      </c>
      <c r="H68" s="6">
        <v>9902416</v>
      </c>
      <c r="I68" s="7">
        <v>2500</v>
      </c>
      <c r="J68" s="6">
        <v>247560</v>
      </c>
      <c r="K68" s="6">
        <v>9654856</v>
      </c>
      <c r="L68" s="8">
        <v>2380517712</v>
      </c>
      <c r="M68" s="8" t="s">
        <v>120</v>
      </c>
    </row>
    <row r="69" spans="1:13" ht="15" customHeight="1">
      <c r="A69" s="10"/>
      <c r="B69" s="10"/>
      <c r="C69" s="10"/>
      <c r="D69" s="10"/>
      <c r="E69" s="11">
        <v>100500000</v>
      </c>
      <c r="F69" s="11">
        <v>1272403447</v>
      </c>
      <c r="G69" s="11">
        <f t="shared" ref="G69:K69" si="0">SUM(G14:G68)</f>
        <v>1196723115</v>
      </c>
      <c r="H69" s="11">
        <f t="shared" si="0"/>
        <v>1297223115</v>
      </c>
      <c r="I69" s="11"/>
      <c r="J69" s="11">
        <f t="shared" si="0"/>
        <v>105941681</v>
      </c>
      <c r="K69" s="11">
        <f t="shared" si="0"/>
        <v>1191281434</v>
      </c>
      <c r="L69" s="10"/>
      <c r="M69" s="10"/>
    </row>
    <row r="70" spans="1:13" ht="15" customHeight="1">
      <c r="H70" s="12">
        <f>H69-[1]DATA!E14</f>
        <v>0</v>
      </c>
    </row>
  </sheetData>
  <mergeCells count="5">
    <mergeCell ref="B12:D12"/>
    <mergeCell ref="I12:J12"/>
    <mergeCell ref="A12:A13"/>
    <mergeCell ref="L12:L13"/>
    <mergeCell ref="M12:M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mukhsin h</cp:lastModifiedBy>
  <dcterms:created xsi:type="dcterms:W3CDTF">2026-05-06T01:40:26Z</dcterms:created>
  <dcterms:modified xsi:type="dcterms:W3CDTF">2026-05-06T02:01:22Z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8DA7C506D70F43058A53FB5FF7ADE393_11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